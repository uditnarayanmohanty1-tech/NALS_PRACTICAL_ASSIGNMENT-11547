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AL KUMAR\Downloads\"/>
    </mc:Choice>
  </mc:AlternateContent>
  <xr:revisionPtr revIDLastSave="0" documentId="8_{E9280A3C-6FD4-4172-9522-4ED631573C9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udent_Data" sheetId="1" r:id="rId1"/>
    <sheet name="marks_analysis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4" i="2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M4" i="2" l="1"/>
  <c r="N4" i="2"/>
  <c r="K4" i="2"/>
  <c r="P4" i="2" l="1"/>
  <c r="O4" i="2"/>
</calcChain>
</file>

<file path=xl/sharedStrings.xml><?xml version="1.0" encoding="utf-8"?>
<sst xmlns="http://schemas.openxmlformats.org/spreadsheetml/2006/main" count="166" uniqueCount="90">
  <si>
    <t>Roll No</t>
  </si>
  <si>
    <t>Class</t>
  </si>
  <si>
    <t>City</t>
  </si>
  <si>
    <t>Rahul Verma</t>
  </si>
  <si>
    <t>Neha Sharma</t>
  </si>
  <si>
    <t>Jaipur</t>
  </si>
  <si>
    <t>Aman Khan</t>
  </si>
  <si>
    <t>Lucknow</t>
  </si>
  <si>
    <t>Pooja Patel</t>
  </si>
  <si>
    <t>Surat</t>
  </si>
  <si>
    <t>Suresh Das</t>
  </si>
  <si>
    <t>Ankit Singh</t>
  </si>
  <si>
    <t>Patna</t>
  </si>
  <si>
    <t>Riya Gupta</t>
  </si>
  <si>
    <t>Noida</t>
  </si>
  <si>
    <t>Mohit Jain</t>
  </si>
  <si>
    <t>Indore</t>
  </si>
  <si>
    <t>Sneha Iyer</t>
  </si>
  <si>
    <t>Chennai</t>
  </si>
  <si>
    <t>Karan Malhotra</t>
  </si>
  <si>
    <t>Chandigarh</t>
  </si>
  <si>
    <t>Aditi Rao</t>
  </si>
  <si>
    <t>Bengaluru</t>
  </si>
  <si>
    <t>Nikhil Pawar</t>
  </si>
  <si>
    <t>Pune</t>
  </si>
  <si>
    <t>Simran Kaur</t>
  </si>
  <si>
    <t>Arjun Mehta</t>
  </si>
  <si>
    <t>Mumbai</t>
  </si>
  <si>
    <t>Kavya Nair</t>
  </si>
  <si>
    <t>Kochi</t>
  </si>
  <si>
    <t>Marks (ENGLISH)</t>
  </si>
  <si>
    <t>Marks (MATHS)</t>
  </si>
  <si>
    <t>Marks (SCIENCE)</t>
  </si>
  <si>
    <t>Student Result Management</t>
  </si>
  <si>
    <t>full Name</t>
  </si>
  <si>
    <t>fn</t>
  </si>
  <si>
    <t>ln</t>
  </si>
  <si>
    <t>Rahul</t>
  </si>
  <si>
    <t>Verma</t>
  </si>
  <si>
    <t>Neha</t>
  </si>
  <si>
    <t>Aman</t>
  </si>
  <si>
    <t>Pooja</t>
  </si>
  <si>
    <t>Suresh</t>
  </si>
  <si>
    <t>Ankit</t>
  </si>
  <si>
    <t>Riya</t>
  </si>
  <si>
    <t>Mohit</t>
  </si>
  <si>
    <t>Sneha</t>
  </si>
  <si>
    <t>Karan</t>
  </si>
  <si>
    <t>Aditi</t>
  </si>
  <si>
    <t>Nikhil</t>
  </si>
  <si>
    <t>Simran</t>
  </si>
  <si>
    <t>Arjun</t>
  </si>
  <si>
    <t>Kavya</t>
  </si>
  <si>
    <t>Sharma</t>
  </si>
  <si>
    <t>Khan</t>
  </si>
  <si>
    <t>Patel</t>
  </si>
  <si>
    <t>Das</t>
  </si>
  <si>
    <t>Singh</t>
  </si>
  <si>
    <t>Gupta</t>
  </si>
  <si>
    <t>Jain</t>
  </si>
  <si>
    <t>Iyer</t>
  </si>
  <si>
    <t>Malhotra</t>
  </si>
  <si>
    <t>Rao</t>
  </si>
  <si>
    <t>Pawar</t>
  </si>
  <si>
    <t>Kaur</t>
  </si>
  <si>
    <t>Mehta</t>
  </si>
  <si>
    <t>Nair</t>
  </si>
  <si>
    <t>Delhi</t>
  </si>
  <si>
    <t>total marks</t>
  </si>
  <si>
    <t>result</t>
  </si>
  <si>
    <t>average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</si>
  <si>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</si>
  <si>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</si>
  <si>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</si>
  <si>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</si>
  <si>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</si>
  <si>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</si>
  <si>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</si>
  <si>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</si>
  <si>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</si>
  <si>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</si>
  <si>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</si>
  <si>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</si>
  <si>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</si>
  <si>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</si>
  <si>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How many are from delhi</t>
  </si>
  <si>
    <t>max</t>
  </si>
  <si>
    <t>min</t>
  </si>
  <si>
    <t>Column15</t>
  </si>
  <si>
    <t>The Number Student Who passed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</si>
</sst>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00779578409625E-2"/>
          <c:y val="0.16623222748815167"/>
          <c:w val="0.90181536547871899"/>
          <c:h val="0.761894677264867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marks_analysis!$G$3</c:f>
              <c:strCache>
                <c:ptCount val="1"/>
                <c:pt idx="0">
                  <c:v>Marks (ENGLISH)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marks_analysis!$G$4:$G$18</c:f>
              <c:numCache>
                <c:formatCode>General</c:formatCode>
                <c:ptCount val="15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50</c:v>
                </c:pt>
                <c:pt idx="4">
                  <c:v>88</c:v>
                </c:pt>
                <c:pt idx="5">
                  <c:v>20</c:v>
                </c:pt>
                <c:pt idx="6">
                  <c:v>92</c:v>
                </c:pt>
                <c:pt idx="7">
                  <c:v>81</c:v>
                </c:pt>
                <c:pt idx="8">
                  <c:v>90</c:v>
                </c:pt>
                <c:pt idx="9">
                  <c:v>74</c:v>
                </c:pt>
                <c:pt idx="10">
                  <c:v>86</c:v>
                </c:pt>
                <c:pt idx="11">
                  <c:v>89</c:v>
                </c:pt>
                <c:pt idx="12">
                  <c:v>80</c:v>
                </c:pt>
                <c:pt idx="13">
                  <c:v>93</c:v>
                </c:pt>
                <c:pt idx="1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4-459F-895E-2759D68D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7081359"/>
        <c:axId val="1917082799"/>
      </c:barChart>
      <c:catAx>
        <c:axId val="1917081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82799"/>
        <c:crosses val="autoZero"/>
        <c:auto val="1"/>
        <c:lblAlgn val="ctr"/>
        <c:lblOffset val="100"/>
        <c:noMultiLvlLbl val="0"/>
      </c:catAx>
      <c:valAx>
        <c:axId val="191708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8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87-4545-93A8-3086689DB09D}"/>
              </c:ext>
            </c:extLst>
          </c:dPt>
          <c:val>
            <c:numRef>
              <c:f>marks_analysis!$O$3:$O$4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87-4545-93A8-3086689DB09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487-4545-93A8-3086689DB09D}"/>
              </c:ext>
            </c:extLst>
          </c:dPt>
          <c:val>
            <c:numRef>
              <c:f>marks_analysis!$P$4:$P$5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87-4545-93A8-3086689DB09D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487-4545-93A8-3086689DB09D}"/>
              </c:ext>
            </c:extLst>
          </c:dPt>
          <c:val>
            <c:numRef>
              <c:f>marks_analysis!$Q$3:$Q$4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E-F487-4545-93A8-3086689DB09D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487-4545-93A8-3086689DB09D}"/>
              </c:ext>
            </c:extLst>
          </c:dPt>
          <c:val>
            <c:numRef>
              <c:f>marks_analysis!$R$3:$R$4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3-F487-4545-93A8-3086689DB09D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487-4545-93A8-3086689DB09D}"/>
              </c:ext>
            </c:extLst>
          </c:dPt>
          <c:val>
            <c:numRef>
              <c:f>marks_analysis!$S$3:$S$4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8-F487-4545-93A8-3086689DB09D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487-4545-93A8-3086689DB09D}"/>
              </c:ext>
            </c:extLst>
          </c:dPt>
          <c:val>
            <c:numRef>
              <c:f>marks_analysis!$T$3:$T$4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D-F487-4545-93A8-3086689DB09D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487-4545-93A8-3086689DB09D}"/>
              </c:ext>
            </c:extLst>
          </c:dPt>
          <c:val>
            <c:numRef>
              <c:f>marks_analysis!$U$3:$U$4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2-F487-4545-93A8-3086689DB09D}"/>
            </c:ext>
          </c:extLst>
        </c:ser>
        <c:ser>
          <c:idx val="7"/>
          <c:order val="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F487-4545-93A8-3086689DB09D}"/>
              </c:ext>
            </c:extLst>
          </c:dPt>
          <c:val>
            <c:numRef>
              <c:f>marks_analysis!$V$3:$V$4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7-F487-4545-93A8-3086689D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967740</xdr:colOff>
      <xdr:row>12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C26BA-871C-4B9A-927D-631B6549B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914400</xdr:colOff>
      <xdr:row>0</xdr:row>
      <xdr:rowOff>0</xdr:rowOff>
    </xdr:from>
    <xdr:to>
      <xdr:col>11</xdr:col>
      <xdr:colOff>83820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44FC9E-AB07-48BA-BD99-AB7F62B8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58D23-27FD-46B3-BB7F-F8DE1C227BF1}" name="Table1" displayName="Table1" ref="A1:O18" totalsRowShown="0" tableBorderDxfId="10">
  <autoFilter ref="A1:O18" xr:uid="{CC358D23-27FD-46B3-BB7F-F8DE1C227BF1}"/>
  <tableColumns count="15">
    <tableColumn id="1" xr3:uid="{92A116BF-D2AD-458E-99FC-76DA03DC5599}" name="Column1" dataDxfId="9"/>
    <tableColumn id="2" xr3:uid="{05386C5D-B80B-41DE-AA5E-0B0FCD3742A7}" name="Column2" dataDxfId="8"/>
    <tableColumn id="3" xr3:uid="{016383AD-9589-4CCA-9842-1D5AB57F5313}" name="Column3" dataDxfId="7"/>
    <tableColumn id="4" xr3:uid="{A08EB96D-7B0F-40EF-B3E6-C7A7E78C4F3B}" name="Column4" dataDxfId="6"/>
    <tableColumn id="5" xr3:uid="{828E51A6-FC68-4DFF-9A70-71A76EC29D1B}" name="Column5" dataDxfId="5"/>
    <tableColumn id="6" xr3:uid="{D055EE02-4C98-4F59-8CB1-1010F17FE439}" name="Column6" dataDxfId="4"/>
    <tableColumn id="7" xr3:uid="{04C33625-BD80-456C-B9E2-EB7FFBE7CDB9}" name="Column7" dataDxfId="3"/>
    <tableColumn id="8" xr3:uid="{C1377699-9C0B-4192-83B6-D987FEBCAFF9}" name="Column8" dataDxfId="2"/>
    <tableColumn id="9" xr3:uid="{09914D24-EC2A-428A-904C-D3049FE4C755}" name="Column9" dataDxfId="1"/>
    <tableColumn id="10" xr3:uid="{08B3C5D3-03D2-4762-8425-F847B4805C07}" name="Column10">
      <calculatedColumnFormula>SUM(G2:I2)</calculatedColumnFormula>
    </tableColumn>
    <tableColumn id="11" xr3:uid="{66D231B0-E69C-4B84-A183-070ED0930B36}" name="Column11">
      <calculatedColumnFormula>IF(J2&gt;=120,"pass","fail")</calculatedColumnFormula>
    </tableColumn>
    <tableColumn id="12" xr3:uid="{B79FD66B-5C99-4F47-9699-7998E2BDAB38}" name="Column12"/>
    <tableColumn id="13" xr3:uid="{6857FFE8-A365-480B-9DA7-B805595F2D1F}" name="Column13"/>
    <tableColumn id="14" xr3:uid="{EE591126-98AC-460D-9EC1-C1AF3F5947E4}" name="Column14"/>
    <tableColumn id="15" xr3:uid="{F00014AD-6CD7-473A-9C26-229856EB9CD1}" name="Column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6AAF17-733C-49DC-8851-80E6E9A12911}" name="Table4" displayName="Table4" ref="P1:P19" totalsRowShown="0">
  <autoFilter ref="P1:P19" xr:uid="{986AAF17-733C-49DC-8851-80E6E9A12911}"/>
  <tableColumns count="1">
    <tableColumn id="1" xr3:uid="{3A56CEB8-0B21-4198-A5A8-092A4FB4FB9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opLeftCell="C1" zoomScale="70" zoomScaleNormal="70" workbookViewId="0">
      <selection activeCell="M6" sqref="M6"/>
    </sheetView>
  </sheetViews>
  <sheetFormatPr defaultRowHeight="20.399999999999999" x14ac:dyDescent="0.35"/>
  <cols>
    <col min="1" max="3" width="17.73046875" customWidth="1"/>
    <col min="4" max="9" width="11.46484375" customWidth="1"/>
    <col min="13" max="13" width="21.73046875" customWidth="1"/>
  </cols>
  <sheetData>
    <row r="1" spans="1:14" ht="58.05" customHeight="1" x14ac:dyDescent="0.35">
      <c r="A1" s="5" t="s">
        <v>33</v>
      </c>
      <c r="B1" s="5"/>
      <c r="C1" s="5"/>
      <c r="D1" s="5"/>
      <c r="E1" s="5"/>
      <c r="F1" s="5"/>
      <c r="G1" s="5"/>
      <c r="H1" s="5"/>
      <c r="I1" s="5"/>
    </row>
    <row r="2" spans="1:14" ht="58.05" customHeight="1" x14ac:dyDescent="0.35">
      <c r="A2" s="3" t="s">
        <v>34</v>
      </c>
      <c r="B2" s="3" t="s">
        <v>35</v>
      </c>
      <c r="C2" s="3" t="s">
        <v>36</v>
      </c>
      <c r="D2" s="3" t="s">
        <v>0</v>
      </c>
      <c r="E2" s="3" t="s">
        <v>1</v>
      </c>
      <c r="F2" s="3" t="s">
        <v>2</v>
      </c>
      <c r="G2" s="1" t="s">
        <v>30</v>
      </c>
      <c r="H2" s="1" t="s">
        <v>31</v>
      </c>
      <c r="I2" s="1" t="s">
        <v>32</v>
      </c>
      <c r="J2" s="10" t="s">
        <v>68</v>
      </c>
      <c r="K2" s="10" t="s">
        <v>69</v>
      </c>
      <c r="M2" s="11" t="s">
        <v>85</v>
      </c>
      <c r="N2" s="11"/>
    </row>
    <row r="3" spans="1:14" ht="35.549999999999997" customHeight="1" x14ac:dyDescent="0.35">
      <c r="A3" s="2" t="s">
        <v>3</v>
      </c>
      <c r="B3" s="2" t="s">
        <v>37</v>
      </c>
      <c r="C3" s="2" t="s">
        <v>38</v>
      </c>
      <c r="D3" s="2">
        <v>1</v>
      </c>
      <c r="E3" s="2">
        <v>9</v>
      </c>
      <c r="F3" s="2" t="s">
        <v>67</v>
      </c>
      <c r="G3" s="2">
        <v>78</v>
      </c>
      <c r="H3" s="2">
        <v>82</v>
      </c>
      <c r="I3" s="2">
        <v>75</v>
      </c>
      <c r="J3">
        <f>SUM(G3:I3)</f>
        <v>235</v>
      </c>
      <c r="K3" t="str">
        <f>IF(J3&gt;=120,"pass","fail")</f>
        <v>pass</v>
      </c>
      <c r="M3" s="13">
        <v>3</v>
      </c>
      <c r="N3" s="13"/>
    </row>
    <row r="4" spans="1:14" ht="35.549999999999997" customHeight="1" x14ac:dyDescent="0.35">
      <c r="A4" s="2" t="s">
        <v>4</v>
      </c>
      <c r="B4" s="2" t="s">
        <v>39</v>
      </c>
      <c r="C4" s="2" t="s">
        <v>53</v>
      </c>
      <c r="D4" s="2">
        <v>2</v>
      </c>
      <c r="E4" s="2">
        <v>9</v>
      </c>
      <c r="F4" s="2" t="s">
        <v>5</v>
      </c>
      <c r="G4" s="2">
        <v>85</v>
      </c>
      <c r="H4" s="2">
        <v>10</v>
      </c>
      <c r="I4" s="2">
        <v>88</v>
      </c>
      <c r="J4">
        <f t="shared" ref="J4:J17" si="0">SUM(G4:I4)</f>
        <v>183</v>
      </c>
      <c r="K4" t="str">
        <f t="shared" ref="K4:K17" si="1">IF(J4&gt;=120,"pass","fail")</f>
        <v>pass</v>
      </c>
      <c r="M4" s="12"/>
      <c r="N4" s="12"/>
    </row>
    <row r="5" spans="1:14" ht="35.549999999999997" customHeight="1" x14ac:dyDescent="0.35">
      <c r="A5" s="2" t="s">
        <v>6</v>
      </c>
      <c r="B5" s="2" t="s">
        <v>40</v>
      </c>
      <c r="C5" s="2" t="s">
        <v>54</v>
      </c>
      <c r="D5" s="2">
        <v>3</v>
      </c>
      <c r="E5" s="2">
        <v>9</v>
      </c>
      <c r="F5" s="2" t="s">
        <v>7</v>
      </c>
      <c r="G5" s="2">
        <v>90</v>
      </c>
      <c r="H5" s="2">
        <v>92</v>
      </c>
      <c r="I5" s="2">
        <v>86</v>
      </c>
      <c r="J5">
        <f t="shared" si="0"/>
        <v>268</v>
      </c>
      <c r="K5" t="str">
        <f t="shared" si="1"/>
        <v>pass</v>
      </c>
    </row>
    <row r="6" spans="1:14" ht="35.549999999999997" customHeight="1" x14ac:dyDescent="0.35">
      <c r="A6" s="2" t="s">
        <v>8</v>
      </c>
      <c r="B6" s="2" t="s">
        <v>41</v>
      </c>
      <c r="C6" s="2" t="s">
        <v>55</v>
      </c>
      <c r="D6" s="2">
        <v>4</v>
      </c>
      <c r="E6" s="2">
        <v>9</v>
      </c>
      <c r="F6" s="2" t="s">
        <v>9</v>
      </c>
      <c r="G6" s="2">
        <v>50</v>
      </c>
      <c r="H6" s="2">
        <v>10</v>
      </c>
      <c r="I6" s="2">
        <v>40</v>
      </c>
      <c r="J6">
        <f t="shared" si="0"/>
        <v>100</v>
      </c>
      <c r="K6" t="str">
        <f t="shared" si="1"/>
        <v>fail</v>
      </c>
    </row>
    <row r="7" spans="1:14" ht="35.549999999999997" customHeight="1" x14ac:dyDescent="0.35">
      <c r="A7" s="2" t="s">
        <v>10</v>
      </c>
      <c r="B7" s="2" t="s">
        <v>42</v>
      </c>
      <c r="C7" s="2" t="s">
        <v>56</v>
      </c>
      <c r="D7" s="2">
        <v>5</v>
      </c>
      <c r="E7" s="2">
        <v>9</v>
      </c>
      <c r="F7" s="2" t="s">
        <v>67</v>
      </c>
      <c r="G7" s="2">
        <v>88</v>
      </c>
      <c r="H7" s="2">
        <v>84</v>
      </c>
      <c r="I7" s="2">
        <v>79</v>
      </c>
      <c r="J7">
        <f t="shared" si="0"/>
        <v>251</v>
      </c>
      <c r="K7" t="str">
        <f t="shared" si="1"/>
        <v>pass</v>
      </c>
    </row>
    <row r="8" spans="1:14" ht="35.549999999999997" customHeight="1" x14ac:dyDescent="0.35">
      <c r="A8" s="2" t="s">
        <v>11</v>
      </c>
      <c r="B8" s="2" t="s">
        <v>43</v>
      </c>
      <c r="C8" s="2" t="s">
        <v>57</v>
      </c>
      <c r="D8" s="2">
        <v>6</v>
      </c>
      <c r="E8" s="2">
        <v>9</v>
      </c>
      <c r="F8" s="2" t="s">
        <v>12</v>
      </c>
      <c r="G8" s="2">
        <v>20</v>
      </c>
      <c r="H8" s="2">
        <v>10</v>
      </c>
      <c r="I8" s="2">
        <v>20</v>
      </c>
      <c r="J8">
        <f t="shared" si="0"/>
        <v>50</v>
      </c>
      <c r="K8" t="str">
        <f t="shared" si="1"/>
        <v>fail</v>
      </c>
    </row>
    <row r="9" spans="1:14" ht="35.549999999999997" customHeight="1" x14ac:dyDescent="0.35">
      <c r="A9" s="2" t="s">
        <v>13</v>
      </c>
      <c r="B9" s="2" t="s">
        <v>44</v>
      </c>
      <c r="C9" s="2" t="s">
        <v>58</v>
      </c>
      <c r="D9" s="2">
        <v>7</v>
      </c>
      <c r="E9" s="2">
        <v>9</v>
      </c>
      <c r="F9" s="2" t="s">
        <v>14</v>
      </c>
      <c r="G9" s="2">
        <v>92</v>
      </c>
      <c r="H9" s="2">
        <v>89</v>
      </c>
      <c r="I9" s="2">
        <v>94</v>
      </c>
      <c r="J9">
        <f t="shared" si="0"/>
        <v>275</v>
      </c>
      <c r="K9" t="str">
        <f t="shared" si="1"/>
        <v>pass</v>
      </c>
    </row>
    <row r="10" spans="1:14" ht="35.549999999999997" customHeight="1" x14ac:dyDescent="0.35">
      <c r="A10" s="2" t="s">
        <v>15</v>
      </c>
      <c r="B10" s="2" t="s">
        <v>45</v>
      </c>
      <c r="C10" s="2" t="s">
        <v>59</v>
      </c>
      <c r="D10" s="2">
        <v>8</v>
      </c>
      <c r="E10" s="2">
        <v>9</v>
      </c>
      <c r="F10" s="2" t="s">
        <v>16</v>
      </c>
      <c r="G10" s="2">
        <v>81</v>
      </c>
      <c r="H10" s="2">
        <v>77</v>
      </c>
      <c r="I10" s="2">
        <v>85</v>
      </c>
      <c r="J10">
        <f t="shared" si="0"/>
        <v>243</v>
      </c>
      <c r="K10" t="str">
        <f t="shared" si="1"/>
        <v>pass</v>
      </c>
    </row>
    <row r="11" spans="1:14" ht="35.549999999999997" customHeight="1" x14ac:dyDescent="0.35">
      <c r="A11" s="2" t="s">
        <v>17</v>
      </c>
      <c r="B11" s="2" t="s">
        <v>46</v>
      </c>
      <c r="C11" s="2" t="s">
        <v>60</v>
      </c>
      <c r="D11" s="2">
        <v>9</v>
      </c>
      <c r="E11" s="2">
        <v>9</v>
      </c>
      <c r="F11" s="2" t="s">
        <v>18</v>
      </c>
      <c r="G11" s="2">
        <v>90</v>
      </c>
      <c r="H11" s="2">
        <v>88</v>
      </c>
      <c r="I11" s="2">
        <v>91</v>
      </c>
      <c r="J11">
        <f t="shared" si="0"/>
        <v>269</v>
      </c>
      <c r="K11" t="str">
        <f t="shared" si="1"/>
        <v>pass</v>
      </c>
    </row>
    <row r="12" spans="1:14" ht="35.549999999999997" customHeight="1" x14ac:dyDescent="0.35">
      <c r="A12" s="2" t="s">
        <v>19</v>
      </c>
      <c r="B12" s="2" t="s">
        <v>47</v>
      </c>
      <c r="C12" s="2" t="s">
        <v>61</v>
      </c>
      <c r="D12" s="2">
        <v>10</v>
      </c>
      <c r="E12" s="2">
        <v>9</v>
      </c>
      <c r="F12" s="2" t="s">
        <v>20</v>
      </c>
      <c r="G12" s="2">
        <v>74</v>
      </c>
      <c r="H12" s="2">
        <v>79</v>
      </c>
      <c r="I12" s="2">
        <v>82</v>
      </c>
      <c r="J12">
        <f t="shared" si="0"/>
        <v>235</v>
      </c>
      <c r="K12" t="str">
        <f t="shared" si="1"/>
        <v>pass</v>
      </c>
    </row>
    <row r="13" spans="1:14" ht="35.549999999999997" customHeight="1" x14ac:dyDescent="0.35">
      <c r="A13" s="2" t="s">
        <v>21</v>
      </c>
      <c r="B13" s="2" t="s">
        <v>48</v>
      </c>
      <c r="C13" s="2" t="s">
        <v>62</v>
      </c>
      <c r="D13" s="2">
        <v>11</v>
      </c>
      <c r="E13" s="2">
        <v>9</v>
      </c>
      <c r="F13" s="2" t="s">
        <v>22</v>
      </c>
      <c r="G13" s="2">
        <v>86</v>
      </c>
      <c r="H13" s="2">
        <v>83</v>
      </c>
      <c r="I13" s="2">
        <v>88</v>
      </c>
      <c r="J13">
        <f t="shared" si="0"/>
        <v>257</v>
      </c>
      <c r="K13" t="str">
        <f t="shared" si="1"/>
        <v>pass</v>
      </c>
    </row>
    <row r="14" spans="1:14" ht="35.549999999999997" customHeight="1" x14ac:dyDescent="0.35">
      <c r="A14" s="2" t="s">
        <v>23</v>
      </c>
      <c r="B14" s="2" t="s">
        <v>49</v>
      </c>
      <c r="C14" s="2" t="s">
        <v>63</v>
      </c>
      <c r="D14" s="2">
        <v>12</v>
      </c>
      <c r="E14" s="2">
        <v>9</v>
      </c>
      <c r="F14" s="2" t="s">
        <v>24</v>
      </c>
      <c r="G14" s="2">
        <v>89</v>
      </c>
      <c r="H14" s="2">
        <v>91</v>
      </c>
      <c r="I14" s="2">
        <v>87</v>
      </c>
      <c r="J14">
        <f t="shared" si="0"/>
        <v>267</v>
      </c>
      <c r="K14" t="str">
        <f t="shared" si="1"/>
        <v>pass</v>
      </c>
    </row>
    <row r="15" spans="1:14" ht="35.549999999999997" customHeight="1" x14ac:dyDescent="0.35">
      <c r="A15" s="2" t="s">
        <v>25</v>
      </c>
      <c r="B15" s="2" t="s">
        <v>50</v>
      </c>
      <c r="C15" s="2" t="s">
        <v>64</v>
      </c>
      <c r="D15" s="2">
        <v>13</v>
      </c>
      <c r="E15" s="2">
        <v>9</v>
      </c>
      <c r="F15" s="2" t="s">
        <v>67</v>
      </c>
      <c r="G15" s="2">
        <v>80</v>
      </c>
      <c r="H15" s="2">
        <v>85</v>
      </c>
      <c r="I15" s="2">
        <v>78</v>
      </c>
      <c r="J15">
        <f t="shared" si="0"/>
        <v>243</v>
      </c>
      <c r="K15" t="str">
        <f t="shared" si="1"/>
        <v>pass</v>
      </c>
    </row>
    <row r="16" spans="1:14" ht="35.549999999999997" customHeight="1" x14ac:dyDescent="0.35">
      <c r="A16" s="2" t="s">
        <v>26</v>
      </c>
      <c r="B16" s="2" t="s">
        <v>51</v>
      </c>
      <c r="C16" s="2" t="s">
        <v>65</v>
      </c>
      <c r="D16" s="2">
        <v>14</v>
      </c>
      <c r="E16" s="2">
        <v>9</v>
      </c>
      <c r="F16" s="2" t="s">
        <v>27</v>
      </c>
      <c r="G16" s="2">
        <v>93</v>
      </c>
      <c r="H16" s="2">
        <v>90</v>
      </c>
      <c r="I16" s="2">
        <v>92</v>
      </c>
      <c r="J16">
        <f t="shared" si="0"/>
        <v>275</v>
      </c>
      <c r="K16" t="str">
        <f t="shared" si="1"/>
        <v>pass</v>
      </c>
    </row>
    <row r="17" spans="1:11" ht="35.549999999999997" customHeight="1" x14ac:dyDescent="0.35">
      <c r="A17" s="2" t="s">
        <v>28</v>
      </c>
      <c r="B17" s="2" t="s">
        <v>52</v>
      </c>
      <c r="C17" s="2" t="s">
        <v>66</v>
      </c>
      <c r="D17" s="2">
        <v>15</v>
      </c>
      <c r="E17" s="2">
        <v>9</v>
      </c>
      <c r="F17" s="2" t="s">
        <v>29</v>
      </c>
      <c r="G17" s="2">
        <v>87</v>
      </c>
      <c r="H17" s="2">
        <v>84</v>
      </c>
      <c r="I17" s="2">
        <v>89</v>
      </c>
      <c r="J17">
        <f t="shared" si="0"/>
        <v>260</v>
      </c>
      <c r="K17" t="str">
        <f t="shared" si="1"/>
        <v>pass</v>
      </c>
    </row>
  </sheetData>
  <mergeCells count="4">
    <mergeCell ref="A1:I1"/>
    <mergeCell ref="M2:N2"/>
    <mergeCell ref="M4:N4"/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76DF-68D9-4156-92BF-13D74D8B4691}">
  <dimension ref="A1:S18"/>
  <sheetViews>
    <sheetView tabSelected="1" zoomScale="50" zoomScaleNormal="50" workbookViewId="0">
      <selection activeCell="P3" sqref="P3"/>
    </sheetView>
  </sheetViews>
  <sheetFormatPr defaultRowHeight="20.399999999999999" x14ac:dyDescent="0.35"/>
  <cols>
    <col min="1" max="3" width="17.73046875" customWidth="1"/>
    <col min="4" max="9" width="13.33203125" customWidth="1"/>
    <col min="10" max="14" width="10.73046875" customWidth="1"/>
    <col min="15" max="15" width="19.06640625" customWidth="1"/>
    <col min="16" max="16" width="22.3984375" customWidth="1"/>
  </cols>
  <sheetData>
    <row r="1" spans="1:19" ht="58.05" customHeight="1" x14ac:dyDescent="0.35">
      <c r="A1" s="7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88</v>
      </c>
      <c r="P1" t="s">
        <v>71</v>
      </c>
    </row>
    <row r="2" spans="1:19" ht="58.05" customHeight="1" x14ac:dyDescent="0.35">
      <c r="A2" s="7" t="s">
        <v>33</v>
      </c>
      <c r="B2" s="4"/>
      <c r="C2" s="4"/>
      <c r="D2" s="4"/>
      <c r="E2" s="4"/>
      <c r="F2" s="4"/>
      <c r="G2" s="4"/>
      <c r="H2" s="4"/>
      <c r="I2" s="4"/>
    </row>
    <row r="3" spans="1:19" ht="73.8" customHeight="1" x14ac:dyDescent="0.35">
      <c r="A3" s="8" t="s">
        <v>34</v>
      </c>
      <c r="B3" s="3" t="s">
        <v>35</v>
      </c>
      <c r="C3" s="3" t="s">
        <v>36</v>
      </c>
      <c r="D3" s="3" t="s">
        <v>0</v>
      </c>
      <c r="E3" s="3" t="s">
        <v>1</v>
      </c>
      <c r="F3" s="3" t="s">
        <v>2</v>
      </c>
      <c r="G3" s="1" t="s">
        <v>30</v>
      </c>
      <c r="H3" s="1" t="s">
        <v>31</v>
      </c>
      <c r="I3" s="1" t="s">
        <v>32</v>
      </c>
      <c r="J3" s="6" t="s">
        <v>68</v>
      </c>
      <c r="K3" s="6" t="s">
        <v>69</v>
      </c>
      <c r="L3" s="6" t="s">
        <v>70</v>
      </c>
      <c r="M3" s="15" t="s">
        <v>86</v>
      </c>
      <c r="N3" s="15" t="s">
        <v>87</v>
      </c>
      <c r="O3" s="17" t="s">
        <v>89</v>
      </c>
      <c r="P3" s="17" t="s">
        <v>89</v>
      </c>
      <c r="Q3" s="16"/>
      <c r="R3" s="16"/>
      <c r="S3" s="16"/>
    </row>
    <row r="4" spans="1:19" ht="35.549999999999997" customHeight="1" x14ac:dyDescent="0.35">
      <c r="A4" s="9" t="s">
        <v>3</v>
      </c>
      <c r="B4" s="2" t="s">
        <v>37</v>
      </c>
      <c r="C4" s="2" t="s">
        <v>38</v>
      </c>
      <c r="D4" s="2">
        <v>1</v>
      </c>
      <c r="E4" s="2">
        <v>9</v>
      </c>
      <c r="F4" s="2" t="s">
        <v>67</v>
      </c>
      <c r="G4" s="2">
        <v>78</v>
      </c>
      <c r="H4" s="2">
        <v>82</v>
      </c>
      <c r="I4" s="2">
        <v>75</v>
      </c>
      <c r="J4" s="14">
        <f>SUM(G4:I4)</f>
        <v>235</v>
      </c>
      <c r="K4" s="14" t="str">
        <f>IF(J4&gt;=120,"pass","fail")</f>
        <v>pass</v>
      </c>
      <c r="L4" s="14">
        <f>AVERAGE(G4:I4)</f>
        <v>78.333333333333329</v>
      </c>
      <c r="M4" s="14">
        <f>MAX(J4:J19)</f>
        <v>275</v>
      </c>
      <c r="N4" s="14">
        <f>MIN(J4:J19)</f>
        <v>50</v>
      </c>
      <c r="O4" s="14">
        <f>COUNTIF(K4:K18,"pass")</f>
        <v>13</v>
      </c>
      <c r="P4" s="16">
        <f>COUNTIF(K4:K18,"fail")</f>
        <v>2</v>
      </c>
    </row>
    <row r="5" spans="1:19" ht="35.549999999999997" customHeight="1" x14ac:dyDescent="0.35">
      <c r="A5" s="9" t="s">
        <v>4</v>
      </c>
      <c r="B5" s="2" t="s">
        <v>39</v>
      </c>
      <c r="C5" s="2" t="s">
        <v>53</v>
      </c>
      <c r="D5" s="2">
        <v>2</v>
      </c>
      <c r="E5" s="2">
        <v>9</v>
      </c>
      <c r="F5" s="2" t="s">
        <v>5</v>
      </c>
      <c r="G5" s="2">
        <v>85</v>
      </c>
      <c r="H5" s="2">
        <v>10</v>
      </c>
      <c r="I5" s="2">
        <v>88</v>
      </c>
      <c r="J5" s="14">
        <f t="shared" ref="J5:J18" si="0">SUM(G5:I5)</f>
        <v>183</v>
      </c>
      <c r="K5" s="14" t="str">
        <f t="shared" ref="K5:K18" si="1">IF(J5&gt;=120,"pass","fail")</f>
        <v>pass</v>
      </c>
      <c r="L5" s="14">
        <f t="shared" ref="L5:L18" si="2">AVERAGE(G5:I5)</f>
        <v>61</v>
      </c>
      <c r="M5" s="14"/>
      <c r="N5" s="14"/>
      <c r="O5" s="14"/>
      <c r="P5" s="14"/>
    </row>
    <row r="6" spans="1:19" ht="35.549999999999997" customHeight="1" x14ac:dyDescent="0.35">
      <c r="A6" s="9" t="s">
        <v>6</v>
      </c>
      <c r="B6" s="2" t="s">
        <v>40</v>
      </c>
      <c r="C6" s="2" t="s">
        <v>54</v>
      </c>
      <c r="D6" s="2">
        <v>3</v>
      </c>
      <c r="E6" s="2">
        <v>9</v>
      </c>
      <c r="F6" s="2" t="s">
        <v>7</v>
      </c>
      <c r="G6" s="2">
        <v>90</v>
      </c>
      <c r="H6" s="2">
        <v>92</v>
      </c>
      <c r="I6" s="2">
        <v>86</v>
      </c>
      <c r="J6" s="14">
        <f t="shared" si="0"/>
        <v>268</v>
      </c>
      <c r="K6" s="14" t="str">
        <f t="shared" si="1"/>
        <v>pass</v>
      </c>
      <c r="L6" s="14">
        <f t="shared" si="2"/>
        <v>89.333333333333329</v>
      </c>
      <c r="M6" s="14"/>
      <c r="N6" s="14"/>
      <c r="O6" s="14"/>
      <c r="P6" s="14"/>
    </row>
    <row r="7" spans="1:19" ht="35.549999999999997" customHeight="1" x14ac:dyDescent="0.35">
      <c r="A7" s="9" t="s">
        <v>8</v>
      </c>
      <c r="B7" s="2" t="s">
        <v>41</v>
      </c>
      <c r="C7" s="2" t="s">
        <v>55</v>
      </c>
      <c r="D7" s="2">
        <v>4</v>
      </c>
      <c r="E7" s="2">
        <v>9</v>
      </c>
      <c r="F7" s="2" t="s">
        <v>9</v>
      </c>
      <c r="G7" s="2">
        <v>50</v>
      </c>
      <c r="H7" s="2">
        <v>10</v>
      </c>
      <c r="I7" s="2">
        <v>40</v>
      </c>
      <c r="J7" s="14">
        <f t="shared" si="0"/>
        <v>100</v>
      </c>
      <c r="K7" s="14" t="str">
        <f t="shared" si="1"/>
        <v>fail</v>
      </c>
      <c r="L7" s="14">
        <f t="shared" si="2"/>
        <v>33.333333333333336</v>
      </c>
      <c r="M7" s="14"/>
      <c r="N7" s="14"/>
      <c r="O7" s="14"/>
      <c r="P7" s="14"/>
    </row>
    <row r="8" spans="1:19" ht="35.549999999999997" customHeight="1" x14ac:dyDescent="0.35">
      <c r="A8" s="9" t="s">
        <v>10</v>
      </c>
      <c r="B8" s="2" t="s">
        <v>42</v>
      </c>
      <c r="C8" s="2" t="s">
        <v>56</v>
      </c>
      <c r="D8" s="2">
        <v>5</v>
      </c>
      <c r="E8" s="2">
        <v>9</v>
      </c>
      <c r="F8" s="2" t="s">
        <v>67</v>
      </c>
      <c r="G8" s="2">
        <v>88</v>
      </c>
      <c r="H8" s="2">
        <v>84</v>
      </c>
      <c r="I8" s="2">
        <v>79</v>
      </c>
      <c r="J8" s="14">
        <f t="shared" si="0"/>
        <v>251</v>
      </c>
      <c r="K8" s="14" t="str">
        <f t="shared" si="1"/>
        <v>pass</v>
      </c>
      <c r="L8" s="14">
        <f t="shared" si="2"/>
        <v>83.666666666666671</v>
      </c>
      <c r="M8" s="14"/>
      <c r="N8" s="14"/>
      <c r="O8" s="14"/>
      <c r="P8" s="14"/>
    </row>
    <row r="9" spans="1:19" ht="35.549999999999997" customHeight="1" x14ac:dyDescent="0.35">
      <c r="A9" s="9" t="s">
        <v>11</v>
      </c>
      <c r="B9" s="2" t="s">
        <v>43</v>
      </c>
      <c r="C9" s="2" t="s">
        <v>57</v>
      </c>
      <c r="D9" s="2">
        <v>6</v>
      </c>
      <c r="E9" s="2">
        <v>9</v>
      </c>
      <c r="F9" s="2" t="s">
        <v>12</v>
      </c>
      <c r="G9" s="2">
        <v>20</v>
      </c>
      <c r="H9" s="2">
        <v>10</v>
      </c>
      <c r="I9" s="2">
        <v>20</v>
      </c>
      <c r="J9" s="14">
        <f t="shared" si="0"/>
        <v>50</v>
      </c>
      <c r="K9" s="14" t="str">
        <f t="shared" si="1"/>
        <v>fail</v>
      </c>
      <c r="L9" s="14">
        <f t="shared" si="2"/>
        <v>16.666666666666668</v>
      </c>
      <c r="M9" s="14"/>
      <c r="N9" s="14"/>
      <c r="O9" s="14"/>
      <c r="P9" s="14"/>
    </row>
    <row r="10" spans="1:19" ht="35.549999999999997" customHeight="1" x14ac:dyDescent="0.35">
      <c r="A10" s="9" t="s">
        <v>13</v>
      </c>
      <c r="B10" s="2" t="s">
        <v>44</v>
      </c>
      <c r="C10" s="2" t="s">
        <v>58</v>
      </c>
      <c r="D10" s="2">
        <v>7</v>
      </c>
      <c r="E10" s="2">
        <v>9</v>
      </c>
      <c r="F10" s="2" t="s">
        <v>14</v>
      </c>
      <c r="G10" s="2">
        <v>92</v>
      </c>
      <c r="H10" s="2">
        <v>89</v>
      </c>
      <c r="I10" s="2">
        <v>94</v>
      </c>
      <c r="J10" s="14">
        <f t="shared" si="0"/>
        <v>275</v>
      </c>
      <c r="K10" s="14" t="str">
        <f t="shared" si="1"/>
        <v>pass</v>
      </c>
      <c r="L10" s="14">
        <f t="shared" si="2"/>
        <v>91.666666666666671</v>
      </c>
      <c r="M10" s="14"/>
      <c r="N10" s="14"/>
      <c r="O10" s="14"/>
      <c r="P10" s="14"/>
    </row>
    <row r="11" spans="1:19" ht="35.549999999999997" customHeight="1" x14ac:dyDescent="0.35">
      <c r="A11" s="9" t="s">
        <v>15</v>
      </c>
      <c r="B11" s="2" t="s">
        <v>45</v>
      </c>
      <c r="C11" s="2" t="s">
        <v>59</v>
      </c>
      <c r="D11" s="2">
        <v>8</v>
      </c>
      <c r="E11" s="2">
        <v>9</v>
      </c>
      <c r="F11" s="2" t="s">
        <v>16</v>
      </c>
      <c r="G11" s="2">
        <v>81</v>
      </c>
      <c r="H11" s="2">
        <v>77</v>
      </c>
      <c r="I11" s="2">
        <v>85</v>
      </c>
      <c r="J11" s="14">
        <f t="shared" si="0"/>
        <v>243</v>
      </c>
      <c r="K11" s="14" t="str">
        <f t="shared" si="1"/>
        <v>pass</v>
      </c>
      <c r="L11" s="14">
        <f t="shared" si="2"/>
        <v>81</v>
      </c>
      <c r="M11" s="14"/>
      <c r="N11" s="14"/>
      <c r="O11" s="14"/>
      <c r="P11" s="14"/>
    </row>
    <row r="12" spans="1:19" ht="35.549999999999997" customHeight="1" x14ac:dyDescent="0.35">
      <c r="A12" s="9" t="s">
        <v>17</v>
      </c>
      <c r="B12" s="2" t="s">
        <v>46</v>
      </c>
      <c r="C12" s="2" t="s">
        <v>60</v>
      </c>
      <c r="D12" s="2">
        <v>9</v>
      </c>
      <c r="E12" s="2">
        <v>9</v>
      </c>
      <c r="F12" s="2" t="s">
        <v>18</v>
      </c>
      <c r="G12" s="2">
        <v>90</v>
      </c>
      <c r="H12" s="2">
        <v>88</v>
      </c>
      <c r="I12" s="2">
        <v>91</v>
      </c>
      <c r="J12" s="14">
        <f t="shared" si="0"/>
        <v>269</v>
      </c>
      <c r="K12" s="14" t="str">
        <f t="shared" si="1"/>
        <v>pass</v>
      </c>
      <c r="L12" s="14">
        <f t="shared" si="2"/>
        <v>89.666666666666671</v>
      </c>
      <c r="M12" s="14"/>
      <c r="N12" s="14"/>
      <c r="O12" s="14"/>
      <c r="P12" s="14"/>
    </row>
    <row r="13" spans="1:19" ht="35.549999999999997" customHeight="1" x14ac:dyDescent="0.35">
      <c r="A13" s="9" t="s">
        <v>19</v>
      </c>
      <c r="B13" s="2" t="s">
        <v>47</v>
      </c>
      <c r="C13" s="2" t="s">
        <v>61</v>
      </c>
      <c r="D13" s="2">
        <v>10</v>
      </c>
      <c r="E13" s="2">
        <v>9</v>
      </c>
      <c r="F13" s="2" t="s">
        <v>20</v>
      </c>
      <c r="G13" s="2">
        <v>74</v>
      </c>
      <c r="H13" s="2">
        <v>79</v>
      </c>
      <c r="I13" s="2">
        <v>82</v>
      </c>
      <c r="J13" s="14">
        <f t="shared" si="0"/>
        <v>235</v>
      </c>
      <c r="K13" s="14" t="str">
        <f t="shared" si="1"/>
        <v>pass</v>
      </c>
      <c r="L13" s="14">
        <f t="shared" si="2"/>
        <v>78.333333333333329</v>
      </c>
      <c r="M13" s="14"/>
      <c r="N13" s="14"/>
      <c r="O13" s="14"/>
      <c r="P13" s="14"/>
    </row>
    <row r="14" spans="1:19" ht="35.549999999999997" customHeight="1" x14ac:dyDescent="0.35">
      <c r="A14" s="9" t="s">
        <v>21</v>
      </c>
      <c r="B14" s="2" t="s">
        <v>48</v>
      </c>
      <c r="C14" s="2" t="s">
        <v>62</v>
      </c>
      <c r="D14" s="2">
        <v>11</v>
      </c>
      <c r="E14" s="2">
        <v>9</v>
      </c>
      <c r="F14" s="2" t="s">
        <v>22</v>
      </c>
      <c r="G14" s="2">
        <v>86</v>
      </c>
      <c r="H14" s="2">
        <v>83</v>
      </c>
      <c r="I14" s="2">
        <v>88</v>
      </c>
      <c r="J14" s="14">
        <f t="shared" si="0"/>
        <v>257</v>
      </c>
      <c r="K14" s="14" t="str">
        <f t="shared" si="1"/>
        <v>pass</v>
      </c>
      <c r="L14" s="14">
        <f t="shared" si="2"/>
        <v>85.666666666666671</v>
      </c>
      <c r="M14" s="14"/>
      <c r="N14" s="14"/>
      <c r="O14" s="14"/>
      <c r="P14" s="14"/>
    </row>
    <row r="15" spans="1:19" ht="35.549999999999997" customHeight="1" x14ac:dyDescent="0.35">
      <c r="A15" s="9" t="s">
        <v>23</v>
      </c>
      <c r="B15" s="2" t="s">
        <v>49</v>
      </c>
      <c r="C15" s="2" t="s">
        <v>63</v>
      </c>
      <c r="D15" s="2">
        <v>12</v>
      </c>
      <c r="E15" s="2">
        <v>9</v>
      </c>
      <c r="F15" s="2" t="s">
        <v>24</v>
      </c>
      <c r="G15" s="2">
        <v>89</v>
      </c>
      <c r="H15" s="2">
        <v>91</v>
      </c>
      <c r="I15" s="2">
        <v>87</v>
      </c>
      <c r="J15" s="14">
        <f t="shared" si="0"/>
        <v>267</v>
      </c>
      <c r="K15" s="14" t="str">
        <f t="shared" si="1"/>
        <v>pass</v>
      </c>
      <c r="L15" s="14">
        <f t="shared" si="2"/>
        <v>89</v>
      </c>
      <c r="M15" s="14"/>
      <c r="N15" s="14"/>
      <c r="O15" s="14"/>
      <c r="P15" s="14"/>
    </row>
    <row r="16" spans="1:19" ht="35.549999999999997" customHeight="1" x14ac:dyDescent="0.35">
      <c r="A16" s="9" t="s">
        <v>25</v>
      </c>
      <c r="B16" s="2" t="s">
        <v>50</v>
      </c>
      <c r="C16" s="2" t="s">
        <v>64</v>
      </c>
      <c r="D16" s="2">
        <v>13</v>
      </c>
      <c r="E16" s="2">
        <v>9</v>
      </c>
      <c r="F16" s="2" t="s">
        <v>67</v>
      </c>
      <c r="G16" s="2">
        <v>80</v>
      </c>
      <c r="H16" s="2">
        <v>85</v>
      </c>
      <c r="I16" s="2">
        <v>78</v>
      </c>
      <c r="J16" s="14">
        <f t="shared" si="0"/>
        <v>243</v>
      </c>
      <c r="K16" s="14" t="str">
        <f t="shared" si="1"/>
        <v>pass</v>
      </c>
      <c r="L16" s="14">
        <f t="shared" si="2"/>
        <v>81</v>
      </c>
      <c r="M16" s="14"/>
      <c r="N16" s="14"/>
      <c r="O16" s="14"/>
      <c r="P16" s="14"/>
    </row>
    <row r="17" spans="1:16" ht="35.549999999999997" customHeight="1" x14ac:dyDescent="0.35">
      <c r="A17" s="9" t="s">
        <v>26</v>
      </c>
      <c r="B17" s="2" t="s">
        <v>51</v>
      </c>
      <c r="C17" s="2" t="s">
        <v>65</v>
      </c>
      <c r="D17" s="2">
        <v>14</v>
      </c>
      <c r="E17" s="2">
        <v>9</v>
      </c>
      <c r="F17" s="2" t="s">
        <v>27</v>
      </c>
      <c r="G17" s="2">
        <v>93</v>
      </c>
      <c r="H17" s="2">
        <v>90</v>
      </c>
      <c r="I17" s="2">
        <v>92</v>
      </c>
      <c r="J17" s="14">
        <f t="shared" si="0"/>
        <v>275</v>
      </c>
      <c r="K17" s="14" t="str">
        <f t="shared" si="1"/>
        <v>pass</v>
      </c>
      <c r="L17" s="14">
        <f t="shared" si="2"/>
        <v>91.666666666666671</v>
      </c>
      <c r="M17" s="14"/>
      <c r="N17" s="14"/>
      <c r="O17" s="14"/>
      <c r="P17" s="14"/>
    </row>
    <row r="18" spans="1:16" x14ac:dyDescent="0.35">
      <c r="A18" s="9" t="s">
        <v>28</v>
      </c>
      <c r="B18" s="2" t="s">
        <v>52</v>
      </c>
      <c r="C18" s="2" t="s">
        <v>66</v>
      </c>
      <c r="D18" s="2">
        <v>15</v>
      </c>
      <c r="E18" s="2">
        <v>9</v>
      </c>
      <c r="F18" s="2" t="s">
        <v>29</v>
      </c>
      <c r="G18" s="2">
        <v>87</v>
      </c>
      <c r="H18" s="2">
        <v>84</v>
      </c>
      <c r="I18" s="2">
        <v>89</v>
      </c>
      <c r="J18" s="14">
        <f t="shared" si="0"/>
        <v>260</v>
      </c>
      <c r="K18" s="14" t="str">
        <f t="shared" si="1"/>
        <v>pass</v>
      </c>
      <c r="L18" s="14">
        <f t="shared" si="2"/>
        <v>86.666666666666671</v>
      </c>
      <c r="M18" s="14"/>
      <c r="N18" s="14"/>
      <c r="O18" s="14"/>
      <c r="P18" s="14"/>
    </row>
  </sheetData>
  <phoneticPr fontId="4" type="noConversion"/>
  <conditionalFormatting sqref="G4:I18">
    <cfRule type="cellIs" dxfId="0" priority="1" operator="lessThan">
      <formula>40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5F59-4EFE-46DC-A47E-BDF3003D9085}">
  <dimension ref="A1"/>
  <sheetViews>
    <sheetView workbookViewId="0">
      <selection activeCell="G15" sqref="G15"/>
    </sheetView>
  </sheetViews>
  <sheetFormatPr defaultRowHeight="20.399999999999999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marks_analysis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vishal kumar</cp:lastModifiedBy>
  <dcterms:created xsi:type="dcterms:W3CDTF">2025-12-21T10:26:24Z</dcterms:created>
  <dcterms:modified xsi:type="dcterms:W3CDTF">2025-12-31T06:24:36Z</dcterms:modified>
</cp:coreProperties>
</file>