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nses" sheetId="1" r:id="rId1"/>
    <sheet name="Budget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<sst xmlns="http://schemas.openxmlformats.org/spreadsheetml/2006/main" count="92" uniqueCount="34">
  <si>
    <t>Date</t>
  </si>
  <si>
    <t>Category</t>
  </si>
  <si>
    <t>Expense Detail</t>
  </si>
  <si>
    <t>Amount</t>
  </si>
  <si>
    <t>Payment Method</t>
  </si>
  <si>
    <t>Day</t>
  </si>
  <si>
    <t>Month</t>
  </si>
  <si>
    <t>Year</t>
  </si>
  <si>
    <t>Fees</t>
  </si>
  <si>
    <t>Netflix</t>
  </si>
  <si>
    <t>UPI</t>
  </si>
  <si>
    <t>Food</t>
  </si>
  <si>
    <t>Snacks</t>
  </si>
  <si>
    <t>Shopping</t>
  </si>
  <si>
    <t>Home Decor</t>
  </si>
  <si>
    <t>Credit Card</t>
  </si>
  <si>
    <t>Shoes</t>
  </si>
  <si>
    <t>Debit Card</t>
  </si>
  <si>
    <t>Travel</t>
  </si>
  <si>
    <t>Train Ticket</t>
  </si>
  <si>
    <t>Fuel</t>
  </si>
  <si>
    <t>Bus Fare</t>
  </si>
  <si>
    <t>Cash</t>
  </si>
  <si>
    <t>Restaurant</t>
  </si>
  <si>
    <t>Clothes</t>
  </si>
  <si>
    <t>Groceries</t>
  </si>
  <si>
    <t>Other</t>
  </si>
  <si>
    <t>Gift</t>
  </si>
  <si>
    <t>Electronics</t>
  </si>
  <si>
    <t>Internet Bill</t>
  </si>
  <si>
    <t>Coffee</t>
  </si>
  <si>
    <t>Budgeted Amount</t>
  </si>
  <si>
    <t>Actual Expenses</t>
  </si>
  <si>
    <t>Difference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</si>
</sst>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₹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Category-wise Spending (Actual)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Actual Spending per Category</c:v>
          </c:tx>
          <c:dLbls>
            <c:showPercent val="1"/>
          </c:dLbls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Budget vs Actual Expenses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Budget</c:v>
          </c:tx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Budget!$B$2:$B$6</c:f>
              <c:numCache>
                <c:formatCode>General</c:formatCode>
                <c:ptCount val="5"/>
                <c:pt idx="0">
                  <c:v>8000</c:v>
                </c:pt>
                <c:pt idx="1">
                  <c:v>5000</c:v>
                </c:pt>
                <c:pt idx="2">
                  <c:v>10000</c:v>
                </c:pt>
                <c:pt idx="3">
                  <c:v>6000</c:v>
                </c:pt>
                <c:pt idx="4">
                  <c:v>3000</c:v>
                </c:pt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Budget!$A$2:$A$6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Fees</c:v>
                </c:pt>
                <c:pt idx="3">
                  <c:v>Shopping</c:v>
                </c:pt>
                <c:pt idx="4">
                  <c:v>Other</c:v>
                </c:pt>
              </c:strCache>
            </c:strRef>
          </c:cat>
          <c:val>
            <c:numRef>
              <c:f>Budget!$C$2:$C$6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285750</xdr:colOff>
      <xdr:row>7</xdr:row>
      <xdr:rowOff>0</xdr:rowOff>
    </xdr:to>
    <xdr:sp macro="" textlink="">
      <xdr:nvSpPr>
        <xdr:cNvPr id="2" name="TextBox 1"/>
        <xdr:cNvSpPr txBox="1"/>
      </xdr:nvSpPr>
      <xdr:spPr>
        <a:xfrm>
          <a:off x="5600700" y="190500"/>
          <a:ext cx="3333750" cy="1143000"/>
        </a:xfrm>
        <a:prstGeom prst="rect">
          <a:avLst/>
        </a:prstGeom>
        <a:solidFill>
          <a:srgbClr val="FFFFE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FLASH FILL EXPLAINED:</a:t>
          </a:r>
        </a:p>
        <a:p>
          <a:r>
            <a:rPr lang="en-US" sz="1100"/>
            <a:t>Flash Fill automatically senses patterns in your data entry. To use it: Enter the 'Day' for the first two rows. Then press Ctrl+E or go to Data &gt; Flash Fill. Excel will automatically extract Days, Months, or Years from your Date column without needing complex formulas.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12.7109375" customWidth="1"/>
    <col min="2" max="5" width="15.7109375" customWidth="1"/>
    <col min="6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46012</v>
      </c>
      <c r="B2" s="3" t="s">
        <v>8</v>
      </c>
      <c r="C2" s="3" t="s">
        <v>9</v>
      </c>
      <c r="D2" s="4">
        <v>1722</v>
      </c>
      <c r="E2" s="3" t="s">
        <v>10</v>
      </c>
      <c r="F2" s="3">
        <v>21</v>
      </c>
      <c r="G2" s="3">
        <v>12</v>
      </c>
      <c r="H2" s="3">
        <v>2025</v>
      </c>
    </row>
    <row r="3" spans="1:8">
      <c r="A3" s="2">
        <v>46007</v>
      </c>
      <c r="B3" s="3" t="s">
        <v>11</v>
      </c>
      <c r="C3" s="3" t="s">
        <v>12</v>
      </c>
      <c r="D3" s="4">
        <v>2952</v>
      </c>
      <c r="E3" s="3" t="s">
        <v>10</v>
      </c>
      <c r="F3" s="3">
        <v>16</v>
      </c>
      <c r="G3" s="3">
        <v>12</v>
      </c>
      <c r="H3" s="3">
        <v>2025</v>
      </c>
    </row>
    <row r="4" spans="1:8">
      <c r="A4" s="2">
        <v>46007</v>
      </c>
      <c r="B4" s="3" t="s">
        <v>13</v>
      </c>
      <c r="C4" s="3" t="s">
        <v>14</v>
      </c>
      <c r="D4" s="4">
        <v>3941</v>
      </c>
      <c r="E4" s="3" t="s">
        <v>15</v>
      </c>
      <c r="F4" s="3">
        <v>16</v>
      </c>
      <c r="G4" s="3">
        <v>12</v>
      </c>
      <c r="H4" s="3">
        <v>2025</v>
      </c>
    </row>
    <row r="5" spans="1:8">
      <c r="A5" s="2">
        <v>46013</v>
      </c>
      <c r="B5" s="3" t="s">
        <v>13</v>
      </c>
      <c r="C5" s="3" t="s">
        <v>16</v>
      </c>
      <c r="D5" s="4">
        <v>544</v>
      </c>
      <c r="E5" s="3" t="s">
        <v>17</v>
      </c>
      <c r="F5" s="3">
        <v>22</v>
      </c>
      <c r="G5" s="3">
        <v>12</v>
      </c>
      <c r="H5" s="3">
        <v>2025</v>
      </c>
    </row>
    <row r="6" spans="1:8">
      <c r="A6" s="2">
        <v>46004</v>
      </c>
      <c r="B6" s="3" t="s">
        <v>18</v>
      </c>
      <c r="C6" s="3" t="s">
        <v>19</v>
      </c>
      <c r="D6" s="4">
        <v>1973</v>
      </c>
      <c r="E6" s="3" t="s">
        <v>17</v>
      </c>
      <c r="F6" s="3">
        <v>13</v>
      </c>
      <c r="G6" s="3">
        <v>12</v>
      </c>
      <c r="H6" s="3">
        <v>2025</v>
      </c>
    </row>
    <row r="7" spans="1:8">
      <c r="A7" s="2">
        <v>46002</v>
      </c>
      <c r="B7" s="3" t="s">
        <v>18</v>
      </c>
      <c r="C7" s="3" t="s">
        <v>20</v>
      </c>
      <c r="D7" s="4">
        <v>1582</v>
      </c>
      <c r="E7" s="3" t="s">
        <v>15</v>
      </c>
      <c r="F7" s="3">
        <v>11</v>
      </c>
      <c r="G7" s="3">
        <v>12</v>
      </c>
      <c r="H7" s="3">
        <v>2025</v>
      </c>
    </row>
    <row r="8" spans="1:8">
      <c r="A8" s="2">
        <v>46021</v>
      </c>
      <c r="B8" s="3" t="s">
        <v>18</v>
      </c>
      <c r="C8" s="3" t="s">
        <v>21</v>
      </c>
      <c r="D8" s="4">
        <v>3478</v>
      </c>
      <c r="E8" s="3" t="s">
        <v>15</v>
      </c>
      <c r="F8" s="3">
        <v>30</v>
      </c>
      <c r="G8" s="3">
        <v>12</v>
      </c>
      <c r="H8" s="3">
        <v>2025</v>
      </c>
    </row>
    <row r="9" spans="1:8">
      <c r="A9" s="2">
        <v>46016</v>
      </c>
      <c r="B9" s="3" t="s">
        <v>18</v>
      </c>
      <c r="C9" s="3" t="s">
        <v>21</v>
      </c>
      <c r="D9" s="4">
        <v>376</v>
      </c>
      <c r="E9" s="3" t="s">
        <v>22</v>
      </c>
      <c r="F9" s="3">
        <v>25</v>
      </c>
      <c r="G9" s="3">
        <v>12</v>
      </c>
      <c r="H9" s="3">
        <v>2025</v>
      </c>
    </row>
    <row r="10" spans="1:8">
      <c r="A10" s="2">
        <v>46012</v>
      </c>
      <c r="B10" s="3" t="s">
        <v>11</v>
      </c>
      <c r="C10" s="3" t="s">
        <v>23</v>
      </c>
      <c r="D10" s="4">
        <v>245</v>
      </c>
      <c r="E10" s="3" t="s">
        <v>15</v>
      </c>
      <c r="F10" s="3">
        <v>21</v>
      </c>
      <c r="G10" s="3">
        <v>12</v>
      </c>
      <c r="H10" s="3">
        <v>2025</v>
      </c>
    </row>
    <row r="11" spans="1:8">
      <c r="A11" s="2">
        <v>46006</v>
      </c>
      <c r="B11" s="3" t="s">
        <v>13</v>
      </c>
      <c r="C11" s="3" t="s">
        <v>24</v>
      </c>
      <c r="D11" s="4">
        <v>1399</v>
      </c>
      <c r="E11" s="3" t="s">
        <v>22</v>
      </c>
      <c r="F11" s="3">
        <v>15</v>
      </c>
      <c r="G11" s="3">
        <v>12</v>
      </c>
      <c r="H11" s="3">
        <v>2025</v>
      </c>
    </row>
    <row r="12" spans="1:8">
      <c r="A12" s="2">
        <v>46015</v>
      </c>
      <c r="B12" s="3" t="s">
        <v>11</v>
      </c>
      <c r="C12" s="3" t="s">
        <v>25</v>
      </c>
      <c r="D12" s="4">
        <v>1978</v>
      </c>
      <c r="E12" s="3" t="s">
        <v>10</v>
      </c>
      <c r="F12" s="3">
        <v>24</v>
      </c>
      <c r="G12" s="3">
        <v>12</v>
      </c>
      <c r="H12" s="3">
        <v>2025</v>
      </c>
    </row>
    <row r="13" spans="1:8">
      <c r="A13" s="2">
        <v>46015</v>
      </c>
      <c r="B13" s="3" t="s">
        <v>26</v>
      </c>
      <c r="C13" s="3" t="s">
        <v>27</v>
      </c>
      <c r="D13" s="4">
        <v>2854</v>
      </c>
      <c r="E13" s="3" t="s">
        <v>15</v>
      </c>
      <c r="F13" s="3">
        <v>24</v>
      </c>
      <c r="G13" s="3">
        <v>12</v>
      </c>
      <c r="H13" s="3">
        <v>2025</v>
      </c>
    </row>
    <row r="14" spans="1:8">
      <c r="A14" s="2">
        <v>45998</v>
      </c>
      <c r="B14" s="3" t="s">
        <v>13</v>
      </c>
      <c r="C14" s="3" t="s">
        <v>28</v>
      </c>
      <c r="D14" s="4">
        <v>2768</v>
      </c>
      <c r="E14" s="3" t="s">
        <v>15</v>
      </c>
      <c r="F14" s="3">
        <v>7</v>
      </c>
      <c r="G14" s="3">
        <v>12</v>
      </c>
      <c r="H14" s="3">
        <v>2025</v>
      </c>
    </row>
    <row r="15" spans="1:8">
      <c r="A15" s="2">
        <v>46002</v>
      </c>
      <c r="B15" s="3" t="s">
        <v>8</v>
      </c>
      <c r="C15" s="3" t="s">
        <v>29</v>
      </c>
      <c r="D15" s="4">
        <v>2970</v>
      </c>
      <c r="E15" s="3" t="s">
        <v>10</v>
      </c>
      <c r="F15" s="3">
        <v>11</v>
      </c>
      <c r="G15" s="3">
        <v>12</v>
      </c>
      <c r="H15" s="3">
        <v>2025</v>
      </c>
    </row>
    <row r="16" spans="1:8">
      <c r="A16" s="2">
        <v>46015</v>
      </c>
      <c r="B16" s="3" t="s">
        <v>26</v>
      </c>
      <c r="C16" s="3" t="s">
        <v>27</v>
      </c>
      <c r="D16" s="4">
        <v>3602</v>
      </c>
      <c r="E16" s="3" t="s">
        <v>10</v>
      </c>
      <c r="F16" s="3">
        <v>24</v>
      </c>
      <c r="G16" s="3">
        <v>12</v>
      </c>
      <c r="H16" s="3">
        <v>2025</v>
      </c>
    </row>
    <row r="17" spans="1:8">
      <c r="A17" s="2">
        <v>46016</v>
      </c>
      <c r="B17" s="3" t="s">
        <v>18</v>
      </c>
      <c r="C17" s="3" t="s">
        <v>20</v>
      </c>
      <c r="D17" s="4">
        <v>1656</v>
      </c>
      <c r="E17" s="3" t="s">
        <v>10</v>
      </c>
      <c r="F17" s="3">
        <v>25</v>
      </c>
      <c r="G17" s="3">
        <v>12</v>
      </c>
      <c r="H17" s="3">
        <v>2025</v>
      </c>
    </row>
    <row r="18" spans="1:8">
      <c r="A18" s="2">
        <v>45997</v>
      </c>
      <c r="B18" s="3" t="s">
        <v>18</v>
      </c>
      <c r="C18" s="3" t="s">
        <v>20</v>
      </c>
      <c r="D18" s="4">
        <v>2573</v>
      </c>
      <c r="E18" s="3" t="s">
        <v>10</v>
      </c>
      <c r="F18" s="3">
        <v>6</v>
      </c>
      <c r="G18" s="3">
        <v>12</v>
      </c>
      <c r="H18" s="3">
        <v>2025</v>
      </c>
    </row>
    <row r="19" spans="1:8">
      <c r="A19" s="2">
        <v>46009</v>
      </c>
      <c r="B19" s="3" t="s">
        <v>8</v>
      </c>
      <c r="C19" s="3" t="s">
        <v>29</v>
      </c>
      <c r="D19" s="4">
        <v>4731</v>
      </c>
      <c r="E19" s="3" t="s">
        <v>15</v>
      </c>
      <c r="F19" s="3">
        <v>18</v>
      </c>
      <c r="G19" s="3">
        <v>12</v>
      </c>
      <c r="H19" s="3">
        <v>2025</v>
      </c>
    </row>
    <row r="20" spans="1:8">
      <c r="A20" s="2">
        <v>46016</v>
      </c>
      <c r="B20" s="3" t="s">
        <v>11</v>
      </c>
      <c r="C20" s="3" t="s">
        <v>23</v>
      </c>
      <c r="D20" s="4">
        <v>3611</v>
      </c>
      <c r="E20" s="3" t="s">
        <v>22</v>
      </c>
      <c r="F20" s="3">
        <v>25</v>
      </c>
      <c r="G20" s="3">
        <v>12</v>
      </c>
      <c r="H20" s="3">
        <v>2025</v>
      </c>
    </row>
    <row r="21" spans="1:8">
      <c r="A21" s="2">
        <v>46002</v>
      </c>
      <c r="B21" s="3" t="s">
        <v>11</v>
      </c>
      <c r="C21" s="3" t="s">
        <v>30</v>
      </c>
      <c r="D21" s="4">
        <v>867</v>
      </c>
      <c r="E21" s="3" t="s">
        <v>10</v>
      </c>
      <c r="F21" s="3">
        <v>11</v>
      </c>
      <c r="G21" s="3">
        <v>12</v>
      </c>
      <c r="H21" s="3">
        <v>2025</v>
      </c>
    </row>
    <row r="22" spans="1:8">
      <c r="A22" s="2">
        <v>46017</v>
      </c>
      <c r="B22" s="3" t="s">
        <v>26</v>
      </c>
      <c r="C22" s="3" t="s">
        <v>27</v>
      </c>
      <c r="D22" s="4">
        <v>3219</v>
      </c>
      <c r="E22" s="3" t="s">
        <v>22</v>
      </c>
      <c r="F22" s="3">
        <v>26</v>
      </c>
      <c r="G22" s="3">
        <v>12</v>
      </c>
      <c r="H22" s="3">
        <v>2025</v>
      </c>
    </row>
    <row r="23" spans="1:8">
      <c r="A23" s="2">
        <v>45994</v>
      </c>
      <c r="B23" s="3" t="s">
        <v>11</v>
      </c>
      <c r="C23" s="3" t="s">
        <v>30</v>
      </c>
      <c r="D23" s="4">
        <v>4225</v>
      </c>
      <c r="E23" s="3" t="s">
        <v>15</v>
      </c>
      <c r="F23" s="3">
        <v>3</v>
      </c>
      <c r="G23" s="3">
        <v>12</v>
      </c>
      <c r="H23" s="3">
        <v>2025</v>
      </c>
    </row>
    <row r="24" spans="1:8">
      <c r="A24" s="2">
        <v>46007</v>
      </c>
      <c r="B24" s="3" t="s">
        <v>11</v>
      </c>
      <c r="C24" s="3" t="s">
        <v>30</v>
      </c>
      <c r="D24" s="4">
        <v>1501</v>
      </c>
      <c r="E24" s="3" t="s">
        <v>17</v>
      </c>
      <c r="F24" s="3">
        <v>16</v>
      </c>
      <c r="G24" s="3">
        <v>12</v>
      </c>
      <c r="H24" s="3">
        <v>2025</v>
      </c>
    </row>
    <row r="25" spans="1:8">
      <c r="A25" s="2">
        <v>46005</v>
      </c>
      <c r="B25" s="3" t="s">
        <v>18</v>
      </c>
      <c r="C25" s="3" t="s">
        <v>19</v>
      </c>
      <c r="D25" s="4">
        <v>544</v>
      </c>
      <c r="E25" s="3" t="s">
        <v>10</v>
      </c>
      <c r="F25" s="3">
        <v>14</v>
      </c>
      <c r="G25" s="3">
        <v>12</v>
      </c>
      <c r="H25" s="3">
        <v>2025</v>
      </c>
    </row>
    <row r="26" spans="1:8">
      <c r="A26" s="2">
        <v>45996</v>
      </c>
      <c r="B26" s="3" t="s">
        <v>11</v>
      </c>
      <c r="C26" s="3" t="s">
        <v>12</v>
      </c>
      <c r="D26" s="4">
        <v>603</v>
      </c>
      <c r="E26" s="3" t="s">
        <v>15</v>
      </c>
      <c r="F26" s="3">
        <v>5</v>
      </c>
      <c r="G26" s="3">
        <v>12</v>
      </c>
      <c r="H26" s="3">
        <v>2025</v>
      </c>
    </row>
  </sheetData>
  <conditionalFormatting sqref="D2:D26">
    <cfRule type="cellIs" dxfId="0" priority="1" operator="greaterThan">
      <formula>2000</formula>
    </cfRule>
  </conditionalFormatting>
  <dataValidations count="1">
    <dataValidation type="list" allowBlank="1" showInputMessage="1" showErrorMessage="1" sqref="B2:B50">
      <formula1>"Food,Travel,Fees,Shopping,Other"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8.7109375" customWidth="1"/>
  </cols>
  <sheetData>
    <row r="1" spans="1:4">
      <c r="A1" s="1" t="s">
        <v>1</v>
      </c>
      <c r="B1" s="1" t="s">
        <v>31</v>
      </c>
      <c r="C1" s="1" t="s">
        <v>32</v>
      </c>
      <c r="D1" s="1" t="s">
        <v>33</v>
      </c>
    </row>
    <row r="2" spans="1:4">
      <c r="A2" s="3" t="s">
        <v>11</v>
      </c>
      <c r="B2" s="4">
        <v>8000</v>
      </c>
      <c r="C2" s="4">
        <f>SUMIF(Expenses!B:B, A2, Expenses!D:D)</f>
        <v>0</v>
      </c>
      <c r="D2" s="4">
        <f>B2-C2</f>
        <v>0</v>
      </c>
    </row>
    <row r="3" spans="1:4">
      <c r="A3" s="3" t="s">
        <v>18</v>
      </c>
      <c r="B3" s="4">
        <v>5000</v>
      </c>
      <c r="C3" s="4">
        <f>SUMIF(Expenses!B:B, A3, Expenses!D:D)</f>
        <v>0</v>
      </c>
      <c r="D3" s="4">
        <f>B3-C3</f>
        <v>0</v>
      </c>
    </row>
    <row r="4" spans="1:4">
      <c r="A4" s="3" t="s">
        <v>8</v>
      </c>
      <c r="B4" s="4">
        <v>10000</v>
      </c>
      <c r="C4" s="4">
        <f>SUMIF(Expenses!B:B, A4, Expenses!D:D)</f>
        <v>0</v>
      </c>
      <c r="D4" s="4">
        <f>B4-C4</f>
        <v>0</v>
      </c>
    </row>
    <row r="5" spans="1:4">
      <c r="A5" s="3" t="s">
        <v>13</v>
      </c>
      <c r="B5" s="4">
        <v>6000</v>
      </c>
      <c r="C5" s="4">
        <f>SUMIF(Expenses!B:B, A5, Expenses!D:D)</f>
        <v>0</v>
      </c>
      <c r="D5" s="4">
        <f>B5-C5</f>
        <v>0</v>
      </c>
    </row>
    <row r="6" spans="1:4">
      <c r="A6" s="3" t="s">
        <v>26</v>
      </c>
      <c r="B6" s="4">
        <v>3000</v>
      </c>
      <c r="C6" s="4">
        <f>SUMIF(Expenses!B:B, A6, Expenses!D:D)</f>
        <v>0</v>
      </c>
      <c r="D6" s="4">
        <f>B6-C6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Expenses</vt:lpstr>
      <vt:lpstr>Budget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2026-01-04T06:56:21Z</dcterms:created>
  <dcterms:modified xsi:type="dcterms:W3CDTF">2026-01-04T06:56:21Z</dcterms:modified>
</cp:coreProperties>
</file>